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184d964e488833dd/Documents/Data Analytics/Projects/"/>
    </mc:Choice>
  </mc:AlternateContent>
  <xr:revisionPtr revIDLastSave="1" documentId="8_{BB8A8C21-651F-4FFA-8B7C-450DD5FA277F}" xr6:coauthVersionLast="47" xr6:coauthVersionMax="47" xr10:uidLastSave="{ED4191CE-4048-4317-9A04-B4B85E02FA0D}"/>
  <bookViews>
    <workbookView xWindow="-108" yWindow="-108" windowWidth="23256" windowHeight="12456" activeTab="1" xr2:uid="{6E0AD0F4-69AE-4357-B72A-D1480A6CC8AB}"/>
  </bookViews>
  <sheets>
    <sheet name="Sheet1" sheetId="1" r:id="rId1"/>
    <sheet name="Dashboard" sheetId="2" r:id="rId2"/>
  </sheets>
  <definedNames>
    <definedName name="Slicer_Gender">#N/A</definedName>
    <definedName name="Slicer_Subscription_Typ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2" l="1"/>
  <c r="H25" i="1"/>
  <c r="I2" i="1"/>
  <c r="H26" i="1"/>
  <c r="H24" i="1"/>
  <c r="H23" i="1"/>
  <c r="I3" i="1"/>
  <c r="I4" i="1"/>
  <c r="I5" i="1"/>
  <c r="I6" i="1"/>
  <c r="I7" i="1"/>
  <c r="I8" i="1"/>
  <c r="I9" i="1"/>
  <c r="I10" i="1"/>
  <c r="I11" i="1"/>
  <c r="I12" i="1"/>
  <c r="I13" i="1"/>
  <c r="I14" i="1"/>
  <c r="I15" i="1"/>
  <c r="I16" i="1"/>
  <c r="I17" i="1"/>
  <c r="I18" i="1"/>
  <c r="I19" i="1"/>
  <c r="I20" i="1"/>
  <c r="I21" i="1"/>
</calcChain>
</file>

<file path=xl/sharedStrings.xml><?xml version="1.0" encoding="utf-8"?>
<sst xmlns="http://schemas.openxmlformats.org/spreadsheetml/2006/main" count="140" uniqueCount="51">
  <si>
    <t>Customer ID</t>
  </si>
  <si>
    <t>Age</t>
  </si>
  <si>
    <t>Gender</t>
  </si>
  <si>
    <t>Subscription Type</t>
  </si>
  <si>
    <t>Monthly Charges</t>
  </si>
  <si>
    <t>Tenure (Months)</t>
  </si>
  <si>
    <t>Payment Method</t>
  </si>
  <si>
    <t>Churn</t>
  </si>
  <si>
    <t>C001</t>
  </si>
  <si>
    <t>Female</t>
  </si>
  <si>
    <t>Basic</t>
  </si>
  <si>
    <t>UPI</t>
  </si>
  <si>
    <t>Yes</t>
  </si>
  <si>
    <t>C002</t>
  </si>
  <si>
    <t>Male</t>
  </si>
  <si>
    <t>Premium</t>
  </si>
  <si>
    <t>Credit Card</t>
  </si>
  <si>
    <t>No</t>
  </si>
  <si>
    <t>C003</t>
  </si>
  <si>
    <t>Standard</t>
  </si>
  <si>
    <t>Debit Card</t>
  </si>
  <si>
    <t>C004</t>
  </si>
  <si>
    <t>C005</t>
  </si>
  <si>
    <t>C006</t>
  </si>
  <si>
    <t>C007</t>
  </si>
  <si>
    <t>Net Banking</t>
  </si>
  <si>
    <t>C008</t>
  </si>
  <si>
    <t>C009</t>
  </si>
  <si>
    <t>C010</t>
  </si>
  <si>
    <t>C011</t>
  </si>
  <si>
    <t>C012</t>
  </si>
  <si>
    <t>C013</t>
  </si>
  <si>
    <t>C014</t>
  </si>
  <si>
    <t>C015</t>
  </si>
  <si>
    <t>C016</t>
  </si>
  <si>
    <t>C017</t>
  </si>
  <si>
    <t>C018</t>
  </si>
  <si>
    <t>C019</t>
  </si>
  <si>
    <t>C020</t>
  </si>
  <si>
    <t>churn Flag</t>
  </si>
  <si>
    <t>Count of drop(churn)</t>
  </si>
  <si>
    <t>Basic plan churns</t>
  </si>
  <si>
    <t>Average spend of Churns</t>
  </si>
  <si>
    <t>Drop/Churn rate %</t>
  </si>
  <si>
    <t>Row Labels</t>
  </si>
  <si>
    <t>Grand Total</t>
  </si>
  <si>
    <t>Count of Churn</t>
  </si>
  <si>
    <t>(All)</t>
  </si>
  <si>
    <t>Count of Customer ID</t>
  </si>
  <si>
    <t>Average of Monthly Charges</t>
  </si>
  <si>
    <t>Subscription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</si>
</sst>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sz val="16"/>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9" fontId="0" fillId="0" borderId="0" xfId="1" applyFont="1"/>
    <xf numFmtId="0" fontId="0" fillId="0" borderId="0" xfId="0" pivotButton="1"/>
    <xf numFmtId="0" fontId="0" fillId="0" borderId="0" xfId="0" applyAlignment="1">
      <alignment horizontal="left"/>
    </xf>
    <xf numFmtId="0" fontId="0" fillId="0" borderId="0" xfId="0" applyNumberFormat="1"/>
    <xf numFmtId="9" fontId="3" fillId="0" borderId="0" xfId="1" applyFont="1" applyAlignment="1">
      <alignment horizontal="center"/>
    </xf>
  </cellXfs>
  <cellStyles count="2">
    <cellStyle name="Normal" xfId="0" builtinId="0"/>
    <cellStyle name="Percent" xfId="1" builtinId="5"/>
  </cellStyles>
  <dxfs count="11">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Analysis.xlsx]Dashboard!PivotTable1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Subscription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Dashboard!$A$13:$A$16</c:f>
              <c:strCache>
                <c:ptCount val="3"/>
                <c:pt idx="0">
                  <c:v>Basic</c:v>
                </c:pt>
                <c:pt idx="1">
                  <c:v>Premium</c:v>
                </c:pt>
                <c:pt idx="2">
                  <c:v>Standard</c:v>
                </c:pt>
              </c:strCache>
            </c:strRef>
          </c:cat>
          <c:val>
            <c:numRef>
              <c:f>Dashboard!$B$13:$B$16</c:f>
              <c:numCache>
                <c:formatCode>General</c:formatCode>
                <c:ptCount val="3"/>
                <c:pt idx="0">
                  <c:v>7</c:v>
                </c:pt>
                <c:pt idx="1">
                  <c:v>7</c:v>
                </c:pt>
                <c:pt idx="2">
                  <c:v>6</c:v>
                </c:pt>
              </c:numCache>
            </c:numRef>
          </c:val>
          <c:extLst>
            <c:ext xmlns:c16="http://schemas.microsoft.com/office/drawing/2014/chart" uri="{C3380CC4-5D6E-409C-BE32-E72D297353CC}">
              <c16:uniqueId val="{00000000-6A99-492E-8EDB-77C94424D2E2}"/>
            </c:ext>
          </c:extLst>
        </c:ser>
        <c:dLbls>
          <c:showLegendKey val="0"/>
          <c:showVal val="0"/>
          <c:showCatName val="0"/>
          <c:showSerName val="0"/>
          <c:showPercent val="0"/>
          <c:showBubbleSize val="0"/>
        </c:dLbls>
        <c:gapWidth val="219"/>
        <c:overlap val="-27"/>
        <c:axId val="1496374752"/>
        <c:axId val="1496367264"/>
      </c:barChart>
      <c:catAx>
        <c:axId val="149637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367264"/>
        <c:crosses val="autoZero"/>
        <c:auto val="1"/>
        <c:lblAlgn val="ctr"/>
        <c:lblOffset val="100"/>
        <c:noMultiLvlLbl val="0"/>
      </c:catAx>
      <c:valAx>
        <c:axId val="1496367264"/>
        <c:scaling>
          <c:orientation val="minMax"/>
        </c:scaling>
        <c:delete val="1"/>
        <c:axPos val="l"/>
        <c:numFmt formatCode="General" sourceLinked="1"/>
        <c:majorTickMark val="none"/>
        <c:minorTickMark val="none"/>
        <c:tickLblPos val="nextTo"/>
        <c:crossAx val="149637475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Analysis.xlsx]Dashboard!PivotTable3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Payment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F2-414E-AC32-A7650CFD50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F2-414E-AC32-A7650CFD50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F2-414E-AC32-A7650CFD50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F2-414E-AC32-A7650CFD50D8}"/>
              </c:ext>
            </c:extLst>
          </c:dPt>
          <c:cat>
            <c:strRef>
              <c:f>Dashboard!$H$11:$H$15</c:f>
              <c:strCache>
                <c:ptCount val="4"/>
                <c:pt idx="0">
                  <c:v>Credit Card</c:v>
                </c:pt>
                <c:pt idx="1">
                  <c:v>Debit Card</c:v>
                </c:pt>
                <c:pt idx="2">
                  <c:v>Net Banking</c:v>
                </c:pt>
                <c:pt idx="3">
                  <c:v>UPI</c:v>
                </c:pt>
              </c:strCache>
            </c:strRef>
          </c:cat>
          <c:val>
            <c:numRef>
              <c:f>Dashboard!$I$11:$I$15</c:f>
              <c:numCache>
                <c:formatCode>General</c:formatCode>
                <c:ptCount val="4"/>
                <c:pt idx="0">
                  <c:v>7</c:v>
                </c:pt>
                <c:pt idx="1">
                  <c:v>4</c:v>
                </c:pt>
                <c:pt idx="2">
                  <c:v>4</c:v>
                </c:pt>
                <c:pt idx="3">
                  <c:v>5</c:v>
                </c:pt>
              </c:numCache>
            </c:numRef>
          </c:val>
          <c:extLst>
            <c:ext xmlns:c16="http://schemas.microsoft.com/office/drawing/2014/chart" uri="{C3380CC4-5D6E-409C-BE32-E72D297353CC}">
              <c16:uniqueId val="{00000000-B41E-4076-BF71-8848AE7BA8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Analysis.xlsx]Dashboard!PivotTable2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Dashboard!$B$33:$B$34</c:f>
              <c:strCache>
                <c:ptCount val="1"/>
                <c:pt idx="0">
                  <c:v>No</c:v>
                </c:pt>
              </c:strCache>
            </c:strRef>
          </c:tx>
          <c:spPr>
            <a:solidFill>
              <a:schemeClr val="accent1"/>
            </a:solidFill>
            <a:ln>
              <a:noFill/>
            </a:ln>
            <a:effectLst/>
          </c:spPr>
          <c:invertIfNegative val="0"/>
          <c:cat>
            <c:strRef>
              <c:f>Dashboard!$A$35:$A$38</c:f>
              <c:strCache>
                <c:ptCount val="3"/>
                <c:pt idx="0">
                  <c:v>Basic</c:v>
                </c:pt>
                <c:pt idx="1">
                  <c:v>Premium</c:v>
                </c:pt>
                <c:pt idx="2">
                  <c:v>Standard</c:v>
                </c:pt>
              </c:strCache>
            </c:strRef>
          </c:cat>
          <c:val>
            <c:numRef>
              <c:f>Dashboard!$B$35:$B$38</c:f>
              <c:numCache>
                <c:formatCode>General</c:formatCode>
                <c:ptCount val="3"/>
                <c:pt idx="1">
                  <c:v>949</c:v>
                </c:pt>
                <c:pt idx="2">
                  <c:v>624</c:v>
                </c:pt>
              </c:numCache>
            </c:numRef>
          </c:val>
          <c:extLst>
            <c:ext xmlns:c16="http://schemas.microsoft.com/office/drawing/2014/chart" uri="{C3380CC4-5D6E-409C-BE32-E72D297353CC}">
              <c16:uniqueId val="{00000000-CA6B-4BC7-897C-771C37782980}"/>
            </c:ext>
          </c:extLst>
        </c:ser>
        <c:ser>
          <c:idx val="1"/>
          <c:order val="1"/>
          <c:tx>
            <c:strRef>
              <c:f>Dashboard!$C$33:$C$34</c:f>
              <c:strCache>
                <c:ptCount val="1"/>
                <c:pt idx="0">
                  <c:v>Yes</c:v>
                </c:pt>
              </c:strCache>
            </c:strRef>
          </c:tx>
          <c:spPr>
            <a:solidFill>
              <a:schemeClr val="accent2"/>
            </a:solidFill>
            <a:ln>
              <a:noFill/>
            </a:ln>
            <a:effectLst/>
          </c:spPr>
          <c:invertIfNegative val="0"/>
          <c:cat>
            <c:strRef>
              <c:f>Dashboard!$A$35:$A$38</c:f>
              <c:strCache>
                <c:ptCount val="3"/>
                <c:pt idx="0">
                  <c:v>Basic</c:v>
                </c:pt>
                <c:pt idx="1">
                  <c:v>Premium</c:v>
                </c:pt>
                <c:pt idx="2">
                  <c:v>Standard</c:v>
                </c:pt>
              </c:strCache>
            </c:strRef>
          </c:cat>
          <c:val>
            <c:numRef>
              <c:f>Dashboard!$C$35:$C$38</c:f>
              <c:numCache>
                <c:formatCode>General</c:formatCode>
                <c:ptCount val="3"/>
                <c:pt idx="0">
                  <c:v>177.57142857142858</c:v>
                </c:pt>
                <c:pt idx="1">
                  <c:v>899</c:v>
                </c:pt>
              </c:numCache>
            </c:numRef>
          </c:val>
          <c:extLst>
            <c:ext xmlns:c16="http://schemas.microsoft.com/office/drawing/2014/chart" uri="{C3380CC4-5D6E-409C-BE32-E72D297353CC}">
              <c16:uniqueId val="{00000007-CA6B-4BC7-897C-771C37782980}"/>
            </c:ext>
          </c:extLst>
        </c:ser>
        <c:dLbls>
          <c:showLegendKey val="0"/>
          <c:showVal val="0"/>
          <c:showCatName val="0"/>
          <c:showSerName val="0"/>
          <c:showPercent val="0"/>
          <c:showBubbleSize val="0"/>
        </c:dLbls>
        <c:gapWidth val="219"/>
        <c:overlap val="-27"/>
        <c:axId val="837323200"/>
        <c:axId val="838029536"/>
      </c:barChart>
      <c:catAx>
        <c:axId val="83732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029536"/>
        <c:crosses val="autoZero"/>
        <c:auto val="1"/>
        <c:lblAlgn val="ctr"/>
        <c:lblOffset val="100"/>
        <c:noMultiLvlLbl val="0"/>
      </c:catAx>
      <c:valAx>
        <c:axId val="83802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32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106680</xdr:colOff>
      <xdr:row>4</xdr:row>
      <xdr:rowOff>15240</xdr:rowOff>
    </xdr:from>
    <xdr:to>
      <xdr:col>3</xdr:col>
      <xdr:colOff>7620</xdr:colOff>
      <xdr:row>5</xdr:row>
      <xdr:rowOff>60960</xdr:rowOff>
    </xdr:to>
    <xdr:sp macro="" textlink="">
      <xdr:nvSpPr>
        <xdr:cNvPr id="2" name="Rectangle: Rounded Corners 1">
          <a:extLst>
            <a:ext uri="{FF2B5EF4-FFF2-40B4-BE49-F238E27FC236}">
              <a16:creationId xmlns:a16="http://schemas.microsoft.com/office/drawing/2014/main" id="{2355A673-A865-429E-B92F-7A9AAE4766FE}"/>
            </a:ext>
          </a:extLst>
        </xdr:cNvPr>
        <xdr:cNvSpPr/>
      </xdr:nvSpPr>
      <xdr:spPr>
        <a:xfrm>
          <a:off x="967740" y="746760"/>
          <a:ext cx="1120140" cy="312420"/>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400" b="1"/>
            <a:t>Churn Rate</a:t>
          </a:r>
        </a:p>
      </xdr:txBody>
    </xdr:sp>
    <xdr:clientData/>
  </xdr:twoCellAnchor>
  <xdr:twoCellAnchor>
    <xdr:from>
      <xdr:col>2</xdr:col>
      <xdr:colOff>381000</xdr:colOff>
      <xdr:row>0</xdr:row>
      <xdr:rowOff>30480</xdr:rowOff>
    </xdr:from>
    <xdr:to>
      <xdr:col>9</xdr:col>
      <xdr:colOff>15240</xdr:colOff>
      <xdr:row>2</xdr:row>
      <xdr:rowOff>144780</xdr:rowOff>
    </xdr:to>
    <xdr:sp macro="" textlink="">
      <xdr:nvSpPr>
        <xdr:cNvPr id="3" name="Rectangle: Rounded Corners 2">
          <a:extLst>
            <a:ext uri="{FF2B5EF4-FFF2-40B4-BE49-F238E27FC236}">
              <a16:creationId xmlns:a16="http://schemas.microsoft.com/office/drawing/2014/main" id="{AF8D3F77-9676-45AE-846C-E0FA27040BEE}"/>
            </a:ext>
          </a:extLst>
        </xdr:cNvPr>
        <xdr:cNvSpPr/>
      </xdr:nvSpPr>
      <xdr:spPr>
        <a:xfrm>
          <a:off x="1600200" y="30480"/>
          <a:ext cx="3901440" cy="4800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Arial Rounded MT Bold" panose="020F0704030504030204" pitchFamily="34" charset="0"/>
            </a:rPr>
            <a:t>Customer Churn Analysis</a:t>
          </a:r>
        </a:p>
      </xdr:txBody>
    </xdr:sp>
    <xdr:clientData/>
  </xdr:twoCellAnchor>
  <xdr:twoCellAnchor>
    <xdr:from>
      <xdr:col>0</xdr:col>
      <xdr:colOff>1</xdr:colOff>
      <xdr:row>16</xdr:row>
      <xdr:rowOff>55417</xdr:rowOff>
    </xdr:from>
    <xdr:to>
      <xdr:col>3</xdr:col>
      <xdr:colOff>568038</xdr:colOff>
      <xdr:row>28</xdr:row>
      <xdr:rowOff>27710</xdr:rowOff>
    </xdr:to>
    <xdr:graphicFrame macro="">
      <xdr:nvGraphicFramePr>
        <xdr:cNvPr id="5" name="Chart 4">
          <a:extLst>
            <a:ext uri="{FF2B5EF4-FFF2-40B4-BE49-F238E27FC236}">
              <a16:creationId xmlns:a16="http://schemas.microsoft.com/office/drawing/2014/main" id="{192DC5B7-F55C-41AF-A962-D069FBF99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53340</xdr:rowOff>
    </xdr:from>
    <xdr:to>
      <xdr:col>3</xdr:col>
      <xdr:colOff>0</xdr:colOff>
      <xdr:row>8</xdr:row>
      <xdr:rowOff>99060</xdr:rowOff>
    </xdr:to>
    <xdr:sp macro="" textlink="">
      <xdr:nvSpPr>
        <xdr:cNvPr id="6" name="Rectangle: Rounded Corners 5">
          <a:extLst>
            <a:ext uri="{FF2B5EF4-FFF2-40B4-BE49-F238E27FC236}">
              <a16:creationId xmlns:a16="http://schemas.microsoft.com/office/drawing/2014/main" id="{28B43A7D-FC23-4E06-8D3C-63C4EA061B18}"/>
            </a:ext>
          </a:extLst>
        </xdr:cNvPr>
        <xdr:cNvSpPr/>
      </xdr:nvSpPr>
      <xdr:spPr>
        <a:xfrm>
          <a:off x="0" y="1234440"/>
          <a:ext cx="2080260" cy="4114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US" sz="1400" b="1">
              <a:solidFill>
                <a:schemeClr val="lt1"/>
              </a:solidFill>
              <a:latin typeface="+mn-lt"/>
              <a:ea typeface="+mn-ea"/>
              <a:cs typeface="+mn-cs"/>
            </a:rPr>
            <a:t>Churn By Subscription</a:t>
          </a:r>
          <a:endParaRPr lang="en-IN" sz="1400" b="1">
            <a:solidFill>
              <a:schemeClr val="lt1"/>
            </a:solidFill>
            <a:latin typeface="+mn-lt"/>
            <a:ea typeface="+mn-ea"/>
            <a:cs typeface="+mn-cs"/>
          </a:endParaRPr>
        </a:p>
      </xdr:txBody>
    </xdr:sp>
    <xdr:clientData/>
  </xdr:twoCellAnchor>
  <xdr:twoCellAnchor>
    <xdr:from>
      <xdr:col>7</xdr:col>
      <xdr:colOff>0</xdr:colOff>
      <xdr:row>6</xdr:row>
      <xdr:rowOff>76200</xdr:rowOff>
    </xdr:from>
    <xdr:to>
      <xdr:col>9</xdr:col>
      <xdr:colOff>0</xdr:colOff>
      <xdr:row>8</xdr:row>
      <xdr:rowOff>121920</xdr:rowOff>
    </xdr:to>
    <xdr:sp macro="" textlink="">
      <xdr:nvSpPr>
        <xdr:cNvPr id="9" name="Rectangle: Rounded Corners 8">
          <a:extLst>
            <a:ext uri="{FF2B5EF4-FFF2-40B4-BE49-F238E27FC236}">
              <a16:creationId xmlns:a16="http://schemas.microsoft.com/office/drawing/2014/main" id="{E267984A-66BC-495D-AB18-E2B0ED44DD3F}"/>
            </a:ext>
          </a:extLst>
        </xdr:cNvPr>
        <xdr:cNvSpPr/>
      </xdr:nvSpPr>
      <xdr:spPr>
        <a:xfrm>
          <a:off x="4876800" y="1257300"/>
          <a:ext cx="2186940" cy="4114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US" sz="1400" b="1">
              <a:solidFill>
                <a:schemeClr val="lt1"/>
              </a:solidFill>
              <a:latin typeface="+mn-lt"/>
              <a:ea typeface="+mn-ea"/>
              <a:cs typeface="+mn-cs"/>
            </a:rPr>
            <a:t>Payment Method</a:t>
          </a:r>
          <a:endParaRPr lang="en-IN" sz="1400" b="1">
            <a:solidFill>
              <a:schemeClr val="lt1"/>
            </a:solidFill>
            <a:latin typeface="+mn-lt"/>
            <a:ea typeface="+mn-ea"/>
            <a:cs typeface="+mn-cs"/>
          </a:endParaRPr>
        </a:p>
      </xdr:txBody>
    </xdr:sp>
    <xdr:clientData/>
  </xdr:twoCellAnchor>
  <xdr:twoCellAnchor>
    <xdr:from>
      <xdr:col>6</xdr:col>
      <xdr:colOff>541713</xdr:colOff>
      <xdr:row>15</xdr:row>
      <xdr:rowOff>146165</xdr:rowOff>
    </xdr:from>
    <xdr:to>
      <xdr:col>11</xdr:col>
      <xdr:colOff>561802</xdr:colOff>
      <xdr:row>28</xdr:row>
      <xdr:rowOff>153785</xdr:rowOff>
    </xdr:to>
    <xdr:graphicFrame macro="">
      <xdr:nvGraphicFramePr>
        <xdr:cNvPr id="10" name="Chart 9">
          <a:extLst>
            <a:ext uri="{FF2B5EF4-FFF2-40B4-BE49-F238E27FC236}">
              <a16:creationId xmlns:a16="http://schemas.microsoft.com/office/drawing/2014/main" id="{AAFE61DD-B422-4F67-981A-A882FD456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723900</xdr:colOff>
      <xdr:row>3</xdr:row>
      <xdr:rowOff>15241</xdr:rowOff>
    </xdr:from>
    <xdr:to>
      <xdr:col>6</xdr:col>
      <xdr:colOff>205541</xdr:colOff>
      <xdr:row>5</xdr:row>
      <xdr:rowOff>167641</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8BFB434D-B4D1-429D-AF43-E662EEF817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04160" y="563881"/>
              <a:ext cx="182880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3</xdr:row>
      <xdr:rowOff>7621</xdr:rowOff>
    </xdr:from>
    <xdr:to>
      <xdr:col>8</xdr:col>
      <xdr:colOff>982943</xdr:colOff>
      <xdr:row>5</xdr:row>
      <xdr:rowOff>175260</xdr:rowOff>
    </xdr:to>
    <mc:AlternateContent xmlns:mc="http://schemas.openxmlformats.org/markup-compatibility/2006" xmlns:a14="http://schemas.microsoft.com/office/drawing/2010/main">
      <mc:Choice Requires="a14">
        <xdr:graphicFrame macro="">
          <xdr:nvGraphicFramePr>
            <xdr:cNvPr id="13" name="Subscription Type">
              <a:extLst>
                <a:ext uri="{FF2B5EF4-FFF2-40B4-BE49-F238E27FC236}">
                  <a16:creationId xmlns:a16="http://schemas.microsoft.com/office/drawing/2014/main" id="{23A4868C-616B-4A23-A31A-867B46685474}"/>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4876800" y="556261"/>
              <a:ext cx="2247900" cy="617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729555</xdr:colOff>
      <xdr:row>31</xdr:row>
      <xdr:rowOff>162658</xdr:rowOff>
    </xdr:from>
    <xdr:to>
      <xdr:col>10</xdr:col>
      <xdr:colOff>323213</xdr:colOff>
      <xdr:row>46</xdr:row>
      <xdr:rowOff>156871</xdr:rowOff>
    </xdr:to>
    <xdr:graphicFrame macro="">
      <xdr:nvGraphicFramePr>
        <xdr:cNvPr id="4" name="Chart 3">
          <a:extLst>
            <a:ext uri="{FF2B5EF4-FFF2-40B4-BE49-F238E27FC236}">
              <a16:creationId xmlns:a16="http://schemas.microsoft.com/office/drawing/2014/main" id="{94F20242-E0B7-4EF0-B7C7-7BD50C8D1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29</xdr:row>
      <xdr:rowOff>13854</xdr:rowOff>
    </xdr:from>
    <xdr:to>
      <xdr:col>1</xdr:col>
      <xdr:colOff>692727</xdr:colOff>
      <xdr:row>31</xdr:row>
      <xdr:rowOff>59574</xdr:rowOff>
    </xdr:to>
    <xdr:sp macro="" textlink="">
      <xdr:nvSpPr>
        <xdr:cNvPr id="11" name="Rectangle: Rounded Corners 10">
          <a:extLst>
            <a:ext uri="{FF2B5EF4-FFF2-40B4-BE49-F238E27FC236}">
              <a16:creationId xmlns:a16="http://schemas.microsoft.com/office/drawing/2014/main" id="{C1BEA460-703C-43E0-83EE-21156A72DB96}"/>
            </a:ext>
          </a:extLst>
        </xdr:cNvPr>
        <xdr:cNvSpPr/>
      </xdr:nvSpPr>
      <xdr:spPr>
        <a:xfrm>
          <a:off x="0" y="5320145"/>
          <a:ext cx="3020291" cy="40593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US" sz="1400" b="1">
              <a:solidFill>
                <a:schemeClr val="lt1"/>
              </a:solidFill>
              <a:latin typeface="+mn-lt"/>
              <a:ea typeface="+mn-ea"/>
              <a:cs typeface="+mn-cs"/>
            </a:rPr>
            <a:t>Monthly Charges vs Churn Analysis </a:t>
          </a:r>
          <a:endParaRPr lang="en-IN" sz="1400" b="1">
            <a:solidFill>
              <a:schemeClr val="lt1"/>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C R" refreshedDate="46115.525149421293" createdVersion="7" refreshedVersion="7" minRefreshableVersion="3" recordCount="20" xr:uid="{BC445633-80F2-4B0D-AF74-45BA7CCF10D7}">
  <cacheSource type="worksheet">
    <worksheetSource name="data"/>
  </cacheSource>
  <cacheFields count="9">
    <cacheField name="Customer ID" numFmtId="0">
      <sharedItems count="20">
        <s v="C001"/>
        <s v="C002"/>
        <s v="C003"/>
        <s v="C004"/>
        <s v="C005"/>
        <s v="C006"/>
        <s v="C007"/>
        <s v="C008"/>
        <s v="C009"/>
        <s v="C010"/>
        <s v="C011"/>
        <s v="C012"/>
        <s v="C013"/>
        <s v="C014"/>
        <s v="C015"/>
        <s v="C016"/>
        <s v="C017"/>
        <s v="C018"/>
        <s v="C019"/>
        <s v="C020"/>
      </sharedItems>
    </cacheField>
    <cacheField name="Age" numFmtId="0">
      <sharedItems containsSemiMixedTypes="0" containsString="0" containsNumber="1" containsInteger="1" minValue="22" maxValue="50"/>
    </cacheField>
    <cacheField name="Gender" numFmtId="0">
      <sharedItems count="2">
        <s v="Female"/>
        <s v="Male"/>
      </sharedItems>
    </cacheField>
    <cacheField name="Subscription Type" numFmtId="0">
      <sharedItems count="3">
        <s v="Basic"/>
        <s v="Premium"/>
        <s v="Standard"/>
      </sharedItems>
    </cacheField>
    <cacheField name="Monthly Charges" numFmtId="0">
      <sharedItems containsSemiMixedTypes="0" containsString="0" containsNumber="1" containsInteger="1" minValue="149" maxValue="1099"/>
    </cacheField>
    <cacheField name="Tenure (Months)" numFmtId="0">
      <sharedItems containsSemiMixedTypes="0" containsString="0" containsNumber="1" containsInteger="1" minValue="2" maxValue="30"/>
    </cacheField>
    <cacheField name="Payment Method" numFmtId="0">
      <sharedItems count="4">
        <s v="UPI"/>
        <s v="Credit Card"/>
        <s v="Debit Card"/>
        <s v="Net Banking"/>
      </sharedItems>
    </cacheField>
    <cacheField name="Churn" numFmtId="0">
      <sharedItems count="2">
        <s v="Yes"/>
        <s v="No"/>
      </sharedItems>
    </cacheField>
    <cacheField name="churn Flag"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4041604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25"/>
    <x v="0"/>
    <x v="0"/>
    <n v="199"/>
    <n v="6"/>
    <x v="0"/>
    <x v="0"/>
    <x v="0"/>
  </r>
  <r>
    <x v="1"/>
    <n v="34"/>
    <x v="1"/>
    <x v="1"/>
    <n v="799"/>
    <n v="24"/>
    <x v="1"/>
    <x v="1"/>
    <x v="1"/>
  </r>
  <r>
    <x v="2"/>
    <n v="29"/>
    <x v="0"/>
    <x v="2"/>
    <n v="499"/>
    <n v="12"/>
    <x v="2"/>
    <x v="1"/>
    <x v="1"/>
  </r>
  <r>
    <x v="3"/>
    <n v="45"/>
    <x v="1"/>
    <x v="0"/>
    <n v="199"/>
    <n v="3"/>
    <x v="0"/>
    <x v="0"/>
    <x v="0"/>
  </r>
  <r>
    <x v="4"/>
    <n v="31"/>
    <x v="0"/>
    <x v="1"/>
    <n v="899"/>
    <n v="18"/>
    <x v="1"/>
    <x v="1"/>
    <x v="1"/>
  </r>
  <r>
    <x v="5"/>
    <n v="22"/>
    <x v="1"/>
    <x v="0"/>
    <n v="149"/>
    <n v="2"/>
    <x v="0"/>
    <x v="0"/>
    <x v="0"/>
  </r>
  <r>
    <x v="6"/>
    <n v="40"/>
    <x v="0"/>
    <x v="2"/>
    <n v="599"/>
    <n v="20"/>
    <x v="3"/>
    <x v="1"/>
    <x v="1"/>
  </r>
  <r>
    <x v="7"/>
    <n v="36"/>
    <x v="1"/>
    <x v="1"/>
    <n v="999"/>
    <n v="30"/>
    <x v="1"/>
    <x v="1"/>
    <x v="1"/>
  </r>
  <r>
    <x v="8"/>
    <n v="28"/>
    <x v="0"/>
    <x v="0"/>
    <n v="199"/>
    <n v="5"/>
    <x v="2"/>
    <x v="0"/>
    <x v="0"/>
  </r>
  <r>
    <x v="9"/>
    <n v="50"/>
    <x v="1"/>
    <x v="2"/>
    <n v="699"/>
    <n v="15"/>
    <x v="3"/>
    <x v="1"/>
    <x v="1"/>
  </r>
  <r>
    <x v="10"/>
    <n v="27"/>
    <x v="0"/>
    <x v="1"/>
    <n v="899"/>
    <n v="10"/>
    <x v="1"/>
    <x v="0"/>
    <x v="0"/>
  </r>
  <r>
    <x v="11"/>
    <n v="33"/>
    <x v="1"/>
    <x v="0"/>
    <n v="149"/>
    <n v="4"/>
    <x v="0"/>
    <x v="0"/>
    <x v="0"/>
  </r>
  <r>
    <x v="12"/>
    <n v="38"/>
    <x v="0"/>
    <x v="2"/>
    <n v="599"/>
    <n v="22"/>
    <x v="2"/>
    <x v="1"/>
    <x v="1"/>
  </r>
  <r>
    <x v="13"/>
    <n v="41"/>
    <x v="1"/>
    <x v="1"/>
    <n v="1099"/>
    <n v="28"/>
    <x v="1"/>
    <x v="1"/>
    <x v="1"/>
  </r>
  <r>
    <x v="14"/>
    <n v="24"/>
    <x v="0"/>
    <x v="0"/>
    <n v="199"/>
    <n v="3"/>
    <x v="0"/>
    <x v="0"/>
    <x v="0"/>
  </r>
  <r>
    <x v="15"/>
    <n v="35"/>
    <x v="1"/>
    <x v="2"/>
    <n v="649"/>
    <n v="14"/>
    <x v="3"/>
    <x v="1"/>
    <x v="1"/>
  </r>
  <r>
    <x v="16"/>
    <n v="30"/>
    <x v="0"/>
    <x v="1"/>
    <n v="899"/>
    <n v="16"/>
    <x v="1"/>
    <x v="1"/>
    <x v="1"/>
  </r>
  <r>
    <x v="17"/>
    <n v="26"/>
    <x v="1"/>
    <x v="0"/>
    <n v="149"/>
    <n v="2"/>
    <x v="2"/>
    <x v="0"/>
    <x v="0"/>
  </r>
  <r>
    <x v="18"/>
    <n v="44"/>
    <x v="0"/>
    <x v="2"/>
    <n v="699"/>
    <n v="25"/>
    <x v="3"/>
    <x v="1"/>
    <x v="1"/>
  </r>
  <r>
    <x v="19"/>
    <n v="39"/>
    <x v="1"/>
    <x v="1"/>
    <n v="999"/>
    <n v="27"/>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28F154-0C4D-4A50-94A5-3281CE0E0A1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ubscription" colHeaderCaption="Churn">
  <location ref="A33:D38" firstHeaderRow="1" firstDataRow="2" firstDataCol="1"/>
  <pivotFields count="9">
    <pivotField showAll="0"/>
    <pivotField showAll="0"/>
    <pivotField showAll="0">
      <items count="3">
        <item x="0"/>
        <item x="1"/>
        <item t="default"/>
      </items>
    </pivotField>
    <pivotField axis="axisRow" showAll="0">
      <items count="4">
        <item x="0"/>
        <item x="1"/>
        <item x="2"/>
        <item t="default"/>
      </items>
    </pivotField>
    <pivotField dataField="1" showAll="0"/>
    <pivotField showAll="0"/>
    <pivotField showAll="0"/>
    <pivotField axis="axisCol" showAll="0">
      <items count="3">
        <item x="1"/>
        <item x="0"/>
        <item t="default"/>
      </items>
    </pivotField>
    <pivotField showAll="0"/>
  </pivotFields>
  <rowFields count="1">
    <field x="3"/>
  </rowFields>
  <rowItems count="4">
    <i>
      <x/>
    </i>
    <i>
      <x v="1"/>
    </i>
    <i>
      <x v="2"/>
    </i>
    <i t="grand">
      <x/>
    </i>
  </rowItems>
  <colFields count="1">
    <field x="7"/>
  </colFields>
  <colItems count="3">
    <i>
      <x/>
    </i>
    <i>
      <x v="1"/>
    </i>
    <i t="grand">
      <x/>
    </i>
  </colItems>
  <dataFields count="1">
    <dataField name="Average of Monthly Charges" fld="4" subtotal="average" baseField="7" baseItem="0"/>
  </dataFields>
  <chartFormats count="8">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2" format="2" series="1">
      <pivotArea type="data" outline="0" fieldPosition="0">
        <references count="3">
          <reference field="4294967294" count="1" selected="0">
            <x v="0"/>
          </reference>
          <reference field="3" count="1" selected="0">
            <x v="0"/>
          </reference>
          <reference field="7" count="1" selected="0">
            <x v="1"/>
          </reference>
        </references>
      </pivotArea>
    </chartFormat>
    <chartFormat chart="2" format="3" series="1">
      <pivotArea type="data" outline="0" fieldPosition="0">
        <references count="3">
          <reference field="4294967294" count="1" selected="0">
            <x v="0"/>
          </reference>
          <reference field="3" count="1" selected="0">
            <x v="1"/>
          </reference>
          <reference field="7"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 chart="2" format="6" series="1">
      <pivotArea type="data" outline="0" fieldPosition="0">
        <references count="2">
          <reference field="4294967294" count="1" selected="0">
            <x v="0"/>
          </reference>
          <reference field="3" count="1" selected="0">
            <x v="2"/>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A08C3C-09AB-41AB-B2BB-478467EA03E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H10:I15" firstHeaderRow="1" firstDataRow="1" firstDataCol="1" rowPageCount="1" colPageCount="1"/>
  <pivotFields count="9">
    <pivotField dataField="1" showAll="0"/>
    <pivotField showAll="0"/>
    <pivotField showAll="0">
      <items count="3">
        <item x="0"/>
        <item x="1"/>
        <item t="default"/>
      </items>
    </pivotField>
    <pivotField showAll="0">
      <items count="4">
        <item x="0"/>
        <item x="1"/>
        <item x="2"/>
        <item t="default"/>
      </items>
    </pivotField>
    <pivotField showAll="0"/>
    <pivotField showAll="0"/>
    <pivotField axis="axisRow" showAll="0">
      <items count="5">
        <item x="1"/>
        <item x="2"/>
        <item x="3"/>
        <item x="0"/>
        <item t="default"/>
      </items>
    </pivotField>
    <pivotField axis="axisPage" multipleItemSelectionAllowed="1" showAll="0">
      <items count="3">
        <item x="1"/>
        <item x="0"/>
        <item t="default"/>
      </items>
    </pivotField>
    <pivotField showAll="0"/>
  </pivotFields>
  <rowFields count="1">
    <field x="6"/>
  </rowFields>
  <rowItems count="5">
    <i>
      <x/>
    </i>
    <i>
      <x v="1"/>
    </i>
    <i>
      <x v="2"/>
    </i>
    <i>
      <x v="3"/>
    </i>
    <i t="grand">
      <x/>
    </i>
  </rowItems>
  <colItems count="1">
    <i/>
  </colItems>
  <pageFields count="1">
    <pageField fld="7" hier="-1"/>
  </pageFields>
  <dataFields count="1">
    <dataField name="Count of Customer ID"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1"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15A842-93E8-4287-9619-E9E5112F262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2:B16" firstHeaderRow="1" firstDataRow="1" firstDataCol="1" rowPageCount="1" colPageCount="1"/>
  <pivotFields count="9">
    <pivotField showAll="0"/>
    <pivotField showAll="0"/>
    <pivotField showAll="0">
      <items count="3">
        <item x="0"/>
        <item x="1"/>
        <item t="default"/>
      </items>
    </pivotField>
    <pivotField axis="axisRow" showAll="0">
      <items count="4">
        <item x="0"/>
        <item x="1"/>
        <item x="2"/>
        <item t="default"/>
      </items>
    </pivotField>
    <pivotField showAll="0"/>
    <pivotField showAll="0"/>
    <pivotField showAll="0"/>
    <pivotField axis="axisPage" dataField="1" showAll="0">
      <items count="3">
        <item x="1"/>
        <item x="0"/>
        <item t="default"/>
      </items>
    </pivotField>
    <pivotField showAll="0">
      <items count="3">
        <item x="1"/>
        <item x="0"/>
        <item t="default"/>
      </items>
    </pivotField>
  </pivotFields>
  <rowFields count="1">
    <field x="3"/>
  </rowFields>
  <rowItems count="4">
    <i>
      <x/>
    </i>
    <i>
      <x v="1"/>
    </i>
    <i>
      <x v="2"/>
    </i>
    <i t="grand">
      <x/>
    </i>
  </rowItems>
  <colItems count="1">
    <i/>
  </colItems>
  <pageFields count="1">
    <pageField fld="7" hier="-1"/>
  </pageFields>
  <dataFields count="1">
    <dataField name="Count of Churn" fld="7"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635C475-5858-4D9D-BC80-C4EFCBC5A2EE}" sourceName="Gender">
  <pivotTables>
    <pivotTable tabId="2" name="PivotTable3"/>
    <pivotTable tabId="2" name="PivotTable1"/>
    <pivotTable tabId="2" name="PivotTable2"/>
  </pivotTables>
  <data>
    <tabular pivotCacheId="14041604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2D01A700-6B8E-4C37-A2CB-A62F4FA6C891}" sourceName="Subscription Type">
  <pivotTables>
    <pivotTable tabId="2" name="PivotTable3"/>
    <pivotTable tabId="2" name="PivotTable1"/>
    <pivotTable tabId="2" name="PivotTable2"/>
  </pivotTables>
  <data>
    <tabular pivotCacheId="140416045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D8C692F-0627-43C2-98CE-EB7CFA8E58DE}" cache="Slicer_Gender" caption="Gender" columnCount="2" rowHeight="234950"/>
  <slicer name="Subscription Type" xr10:uid="{6A416382-4D80-4AEB-9FAF-70DE92961A8E}" cache="Slicer_Subscription_Type" caption="Subscription Typ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5FC386-8FC9-4F64-8109-5E5505E94B34}" name="data" displayName="data" ref="A1:I21" totalsRowShown="0" headerRowDxfId="10" dataDxfId="9">
  <autoFilter ref="A1:I21" xr:uid="{1B5FC386-8FC9-4F64-8109-5E5505E94B34}"/>
  <tableColumns count="9">
    <tableColumn id="1" xr3:uid="{F7B1291B-A28D-4AED-AD98-2E7A3C9BAB5A}" name="Customer ID" dataDxfId="8"/>
    <tableColumn id="2" xr3:uid="{BD91985A-D574-4CCD-BAE3-5BD9C7624EF1}" name="Age" dataDxfId="7"/>
    <tableColumn id="3" xr3:uid="{12AE186A-8034-42DB-A05D-13CE517C712B}" name="Gender" dataDxfId="6"/>
    <tableColumn id="4" xr3:uid="{68E5AAB2-5A26-40D9-B197-C2786C1B9EDE}" name="Subscription Type" dataDxfId="5"/>
    <tableColumn id="5" xr3:uid="{61F11706-13BF-4937-B4E9-3C3821218FFF}" name="Monthly Charges" dataDxfId="4"/>
    <tableColumn id="6" xr3:uid="{F9B964C2-3CD2-4782-9C83-244C87623608}" name="Tenure (Months)" dataDxfId="3"/>
    <tableColumn id="7" xr3:uid="{12362263-BC52-4219-AEC8-0DC4BD083061}" name="Payment Method" dataDxfId="2"/>
    <tableColumn id="8" xr3:uid="{AFF27EA1-2119-432C-A592-B7D0875C7854}" name="Churn" dataDxfId="1"/>
    <tableColumn id="9" xr3:uid="{53916CE1-60B8-4747-BDE6-36B043124D21}" name="churn Flag" dataDxfId="0">
      <calculatedColumnFormula>IF(data[[#This Row],[Churn]]="yes",1,0)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64611-C23C-434B-82C6-0DBF443DD968}">
  <dimension ref="A1:I26"/>
  <sheetViews>
    <sheetView topLeftCell="A2" workbookViewId="0">
      <selection sqref="A1:I21"/>
    </sheetView>
  </sheetViews>
  <sheetFormatPr defaultRowHeight="19.95" customHeight="1" x14ac:dyDescent="0.3"/>
  <cols>
    <col min="1" max="1" width="13.21875" customWidth="1"/>
    <col min="2" max="2" width="6.109375" customWidth="1"/>
    <col min="3" max="3" width="9" customWidth="1"/>
    <col min="4" max="4" width="17.88671875" customWidth="1"/>
    <col min="5" max="5" width="17.21875" customWidth="1"/>
    <col min="6" max="6" width="17.109375" customWidth="1"/>
    <col min="7" max="7" width="21.33203125" bestFit="1" customWidth="1"/>
    <col min="9" max="9" width="14.109375" bestFit="1" customWidth="1"/>
  </cols>
  <sheetData>
    <row r="1" spans="1:9" ht="19.95" customHeight="1" x14ac:dyDescent="0.3">
      <c r="A1" s="1" t="s">
        <v>0</v>
      </c>
      <c r="B1" s="1" t="s">
        <v>1</v>
      </c>
      <c r="C1" s="1" t="s">
        <v>2</v>
      </c>
      <c r="D1" s="1" t="s">
        <v>3</v>
      </c>
      <c r="E1" s="1" t="s">
        <v>4</v>
      </c>
      <c r="F1" s="1" t="s">
        <v>5</v>
      </c>
      <c r="G1" s="1" t="s">
        <v>6</v>
      </c>
      <c r="H1" s="1" t="s">
        <v>7</v>
      </c>
      <c r="I1" s="1" t="s">
        <v>39</v>
      </c>
    </row>
    <row r="2" spans="1:9" ht="19.95" customHeight="1" x14ac:dyDescent="0.3">
      <c r="A2" s="2" t="s">
        <v>8</v>
      </c>
      <c r="B2" s="2">
        <v>25</v>
      </c>
      <c r="C2" s="2" t="s">
        <v>9</v>
      </c>
      <c r="D2" s="2" t="s">
        <v>10</v>
      </c>
      <c r="E2" s="2">
        <v>199</v>
      </c>
      <c r="F2" s="2">
        <v>6</v>
      </c>
      <c r="G2" s="2" t="s">
        <v>11</v>
      </c>
      <c r="H2" s="2" t="s">
        <v>12</v>
      </c>
      <c r="I2" s="2">
        <f>IF(data[[#This Row],[Churn]]="yes",1,0)</f>
        <v>1</v>
      </c>
    </row>
    <row r="3" spans="1:9" ht="19.95" customHeight="1" x14ac:dyDescent="0.3">
      <c r="A3" s="2" t="s">
        <v>13</v>
      </c>
      <c r="B3" s="2">
        <v>34</v>
      </c>
      <c r="C3" s="2" t="s">
        <v>14</v>
      </c>
      <c r="D3" s="2" t="s">
        <v>15</v>
      </c>
      <c r="E3" s="2">
        <v>799</v>
      </c>
      <c r="F3" s="2">
        <v>24</v>
      </c>
      <c r="G3" s="2" t="s">
        <v>16</v>
      </c>
      <c r="H3" s="2" t="s">
        <v>17</v>
      </c>
      <c r="I3" s="2">
        <f>IF(data[[#This Row],[Churn]]="yes",1,0)</f>
        <v>0</v>
      </c>
    </row>
    <row r="4" spans="1:9" ht="19.95" customHeight="1" x14ac:dyDescent="0.3">
      <c r="A4" s="2" t="s">
        <v>18</v>
      </c>
      <c r="B4" s="2">
        <v>29</v>
      </c>
      <c r="C4" s="2" t="s">
        <v>9</v>
      </c>
      <c r="D4" s="2" t="s">
        <v>19</v>
      </c>
      <c r="E4" s="2">
        <v>499</v>
      </c>
      <c r="F4" s="2">
        <v>12</v>
      </c>
      <c r="G4" s="2" t="s">
        <v>20</v>
      </c>
      <c r="H4" s="2" t="s">
        <v>17</v>
      </c>
      <c r="I4" s="2">
        <f>IF(data[[#This Row],[Churn]]="yes",1,0)</f>
        <v>0</v>
      </c>
    </row>
    <row r="5" spans="1:9" ht="19.95" customHeight="1" x14ac:dyDescent="0.3">
      <c r="A5" s="2" t="s">
        <v>21</v>
      </c>
      <c r="B5" s="2">
        <v>45</v>
      </c>
      <c r="C5" s="2" t="s">
        <v>14</v>
      </c>
      <c r="D5" s="2" t="s">
        <v>10</v>
      </c>
      <c r="E5" s="2">
        <v>199</v>
      </c>
      <c r="F5" s="2">
        <v>3</v>
      </c>
      <c r="G5" s="2" t="s">
        <v>11</v>
      </c>
      <c r="H5" s="2" t="s">
        <v>12</v>
      </c>
      <c r="I5" s="2">
        <f>IF(data[[#This Row],[Churn]]="yes",1,0)</f>
        <v>1</v>
      </c>
    </row>
    <row r="6" spans="1:9" ht="19.95" customHeight="1" x14ac:dyDescent="0.3">
      <c r="A6" s="2" t="s">
        <v>22</v>
      </c>
      <c r="B6" s="2">
        <v>31</v>
      </c>
      <c r="C6" s="2" t="s">
        <v>9</v>
      </c>
      <c r="D6" s="2" t="s">
        <v>15</v>
      </c>
      <c r="E6" s="2">
        <v>899</v>
      </c>
      <c r="F6" s="2">
        <v>18</v>
      </c>
      <c r="G6" s="2" t="s">
        <v>16</v>
      </c>
      <c r="H6" s="2" t="s">
        <v>17</v>
      </c>
      <c r="I6" s="2">
        <f>IF(data[[#This Row],[Churn]]="yes",1,0)</f>
        <v>0</v>
      </c>
    </row>
    <row r="7" spans="1:9" ht="19.95" customHeight="1" x14ac:dyDescent="0.3">
      <c r="A7" s="2" t="s">
        <v>23</v>
      </c>
      <c r="B7" s="2">
        <v>22</v>
      </c>
      <c r="C7" s="2" t="s">
        <v>14</v>
      </c>
      <c r="D7" s="2" t="s">
        <v>10</v>
      </c>
      <c r="E7" s="2">
        <v>149</v>
      </c>
      <c r="F7" s="2">
        <v>2</v>
      </c>
      <c r="G7" s="2" t="s">
        <v>11</v>
      </c>
      <c r="H7" s="2" t="s">
        <v>12</v>
      </c>
      <c r="I7" s="2">
        <f>IF(data[[#This Row],[Churn]]="yes",1,0)</f>
        <v>1</v>
      </c>
    </row>
    <row r="8" spans="1:9" ht="19.95" customHeight="1" x14ac:dyDescent="0.3">
      <c r="A8" s="2" t="s">
        <v>24</v>
      </c>
      <c r="B8" s="2">
        <v>40</v>
      </c>
      <c r="C8" s="2" t="s">
        <v>9</v>
      </c>
      <c r="D8" s="2" t="s">
        <v>19</v>
      </c>
      <c r="E8" s="2">
        <v>599</v>
      </c>
      <c r="F8" s="2">
        <v>20</v>
      </c>
      <c r="G8" s="2" t="s">
        <v>25</v>
      </c>
      <c r="H8" s="2" t="s">
        <v>17</v>
      </c>
      <c r="I8" s="2">
        <f>IF(data[[#This Row],[Churn]]="yes",1,0)</f>
        <v>0</v>
      </c>
    </row>
    <row r="9" spans="1:9" ht="19.95" customHeight="1" x14ac:dyDescent="0.3">
      <c r="A9" s="2" t="s">
        <v>26</v>
      </c>
      <c r="B9" s="2">
        <v>36</v>
      </c>
      <c r="C9" s="2" t="s">
        <v>14</v>
      </c>
      <c r="D9" s="2" t="s">
        <v>15</v>
      </c>
      <c r="E9" s="2">
        <v>999</v>
      </c>
      <c r="F9" s="2">
        <v>30</v>
      </c>
      <c r="G9" s="2" t="s">
        <v>16</v>
      </c>
      <c r="H9" s="2" t="s">
        <v>17</v>
      </c>
      <c r="I9" s="2">
        <f>IF(data[[#This Row],[Churn]]="yes",1,0)</f>
        <v>0</v>
      </c>
    </row>
    <row r="10" spans="1:9" ht="19.95" customHeight="1" x14ac:dyDescent="0.3">
      <c r="A10" s="2" t="s">
        <v>27</v>
      </c>
      <c r="B10" s="2">
        <v>28</v>
      </c>
      <c r="C10" s="2" t="s">
        <v>9</v>
      </c>
      <c r="D10" s="2" t="s">
        <v>10</v>
      </c>
      <c r="E10" s="2">
        <v>199</v>
      </c>
      <c r="F10" s="2">
        <v>5</v>
      </c>
      <c r="G10" s="2" t="s">
        <v>20</v>
      </c>
      <c r="H10" s="2" t="s">
        <v>12</v>
      </c>
      <c r="I10" s="2">
        <f>IF(data[[#This Row],[Churn]]="yes",1,0)</f>
        <v>1</v>
      </c>
    </row>
    <row r="11" spans="1:9" ht="19.95" customHeight="1" x14ac:dyDescent="0.3">
      <c r="A11" s="2" t="s">
        <v>28</v>
      </c>
      <c r="B11" s="2">
        <v>50</v>
      </c>
      <c r="C11" s="2" t="s">
        <v>14</v>
      </c>
      <c r="D11" s="2" t="s">
        <v>19</v>
      </c>
      <c r="E11" s="2">
        <v>699</v>
      </c>
      <c r="F11" s="2">
        <v>15</v>
      </c>
      <c r="G11" s="2" t="s">
        <v>25</v>
      </c>
      <c r="H11" s="2" t="s">
        <v>17</v>
      </c>
      <c r="I11" s="2">
        <f>IF(data[[#This Row],[Churn]]="yes",1,0)</f>
        <v>0</v>
      </c>
    </row>
    <row r="12" spans="1:9" ht="19.95" customHeight="1" x14ac:dyDescent="0.3">
      <c r="A12" s="2" t="s">
        <v>29</v>
      </c>
      <c r="B12" s="2">
        <v>27</v>
      </c>
      <c r="C12" s="2" t="s">
        <v>9</v>
      </c>
      <c r="D12" s="2" t="s">
        <v>15</v>
      </c>
      <c r="E12" s="2">
        <v>899</v>
      </c>
      <c r="F12" s="2">
        <v>10</v>
      </c>
      <c r="G12" s="2" t="s">
        <v>16</v>
      </c>
      <c r="H12" s="2" t="s">
        <v>12</v>
      </c>
      <c r="I12" s="2">
        <f>IF(data[[#This Row],[Churn]]="yes",1,0)</f>
        <v>1</v>
      </c>
    </row>
    <row r="13" spans="1:9" ht="19.95" customHeight="1" x14ac:dyDescent="0.3">
      <c r="A13" s="2" t="s">
        <v>30</v>
      </c>
      <c r="B13" s="2">
        <v>33</v>
      </c>
      <c r="C13" s="2" t="s">
        <v>14</v>
      </c>
      <c r="D13" s="2" t="s">
        <v>10</v>
      </c>
      <c r="E13" s="2">
        <v>149</v>
      </c>
      <c r="F13" s="2">
        <v>4</v>
      </c>
      <c r="G13" s="2" t="s">
        <v>11</v>
      </c>
      <c r="H13" s="2" t="s">
        <v>12</v>
      </c>
      <c r="I13" s="2">
        <f>IF(data[[#This Row],[Churn]]="yes",1,0)</f>
        <v>1</v>
      </c>
    </row>
    <row r="14" spans="1:9" ht="19.95" customHeight="1" x14ac:dyDescent="0.3">
      <c r="A14" s="2" t="s">
        <v>31</v>
      </c>
      <c r="B14" s="2">
        <v>38</v>
      </c>
      <c r="C14" s="2" t="s">
        <v>9</v>
      </c>
      <c r="D14" s="2" t="s">
        <v>19</v>
      </c>
      <c r="E14" s="2">
        <v>599</v>
      </c>
      <c r="F14" s="2">
        <v>22</v>
      </c>
      <c r="G14" s="2" t="s">
        <v>20</v>
      </c>
      <c r="H14" s="2" t="s">
        <v>17</v>
      </c>
      <c r="I14" s="2">
        <f>IF(data[[#This Row],[Churn]]="yes",1,0)</f>
        <v>0</v>
      </c>
    </row>
    <row r="15" spans="1:9" ht="19.95" customHeight="1" x14ac:dyDescent="0.3">
      <c r="A15" s="2" t="s">
        <v>32</v>
      </c>
      <c r="B15" s="2">
        <v>41</v>
      </c>
      <c r="C15" s="2" t="s">
        <v>14</v>
      </c>
      <c r="D15" s="2" t="s">
        <v>15</v>
      </c>
      <c r="E15" s="2">
        <v>1099</v>
      </c>
      <c r="F15" s="2">
        <v>28</v>
      </c>
      <c r="G15" s="2" t="s">
        <v>16</v>
      </c>
      <c r="H15" s="2" t="s">
        <v>17</v>
      </c>
      <c r="I15" s="2">
        <f>IF(data[[#This Row],[Churn]]="yes",1,0)</f>
        <v>0</v>
      </c>
    </row>
    <row r="16" spans="1:9" ht="19.95" customHeight="1" x14ac:dyDescent="0.3">
      <c r="A16" s="2" t="s">
        <v>33</v>
      </c>
      <c r="B16" s="2">
        <v>24</v>
      </c>
      <c r="C16" s="2" t="s">
        <v>9</v>
      </c>
      <c r="D16" s="2" t="s">
        <v>10</v>
      </c>
      <c r="E16" s="2">
        <v>199</v>
      </c>
      <c r="F16" s="2">
        <v>3</v>
      </c>
      <c r="G16" s="2" t="s">
        <v>11</v>
      </c>
      <c r="H16" s="2" t="s">
        <v>12</v>
      </c>
      <c r="I16" s="2">
        <f>IF(data[[#This Row],[Churn]]="yes",1,0)</f>
        <v>1</v>
      </c>
    </row>
    <row r="17" spans="1:9" ht="19.95" customHeight="1" x14ac:dyDescent="0.3">
      <c r="A17" s="2" t="s">
        <v>34</v>
      </c>
      <c r="B17" s="2">
        <v>35</v>
      </c>
      <c r="C17" s="2" t="s">
        <v>14</v>
      </c>
      <c r="D17" s="2" t="s">
        <v>19</v>
      </c>
      <c r="E17" s="2">
        <v>649</v>
      </c>
      <c r="F17" s="2">
        <v>14</v>
      </c>
      <c r="G17" s="2" t="s">
        <v>25</v>
      </c>
      <c r="H17" s="2" t="s">
        <v>17</v>
      </c>
      <c r="I17" s="2">
        <f>IF(data[[#This Row],[Churn]]="yes",1,0)</f>
        <v>0</v>
      </c>
    </row>
    <row r="18" spans="1:9" ht="19.95" customHeight="1" x14ac:dyDescent="0.3">
      <c r="A18" s="2" t="s">
        <v>35</v>
      </c>
      <c r="B18" s="2">
        <v>30</v>
      </c>
      <c r="C18" s="2" t="s">
        <v>9</v>
      </c>
      <c r="D18" s="2" t="s">
        <v>15</v>
      </c>
      <c r="E18" s="2">
        <v>899</v>
      </c>
      <c r="F18" s="2">
        <v>16</v>
      </c>
      <c r="G18" s="2" t="s">
        <v>16</v>
      </c>
      <c r="H18" s="2" t="s">
        <v>17</v>
      </c>
      <c r="I18" s="2">
        <f>IF(data[[#This Row],[Churn]]="yes",1,0)</f>
        <v>0</v>
      </c>
    </row>
    <row r="19" spans="1:9" ht="19.95" customHeight="1" x14ac:dyDescent="0.3">
      <c r="A19" s="2" t="s">
        <v>36</v>
      </c>
      <c r="B19" s="2">
        <v>26</v>
      </c>
      <c r="C19" s="2" t="s">
        <v>14</v>
      </c>
      <c r="D19" s="2" t="s">
        <v>10</v>
      </c>
      <c r="E19" s="2">
        <v>149</v>
      </c>
      <c r="F19" s="2">
        <v>2</v>
      </c>
      <c r="G19" s="2" t="s">
        <v>20</v>
      </c>
      <c r="H19" s="2" t="s">
        <v>12</v>
      </c>
      <c r="I19" s="2">
        <f>IF(data[[#This Row],[Churn]]="yes",1,0)</f>
        <v>1</v>
      </c>
    </row>
    <row r="20" spans="1:9" ht="19.95" customHeight="1" x14ac:dyDescent="0.3">
      <c r="A20" s="2" t="s">
        <v>37</v>
      </c>
      <c r="B20" s="2">
        <v>44</v>
      </c>
      <c r="C20" s="2" t="s">
        <v>9</v>
      </c>
      <c r="D20" s="2" t="s">
        <v>19</v>
      </c>
      <c r="E20" s="2">
        <v>699</v>
      </c>
      <c r="F20" s="2">
        <v>25</v>
      </c>
      <c r="G20" s="2" t="s">
        <v>25</v>
      </c>
      <c r="H20" s="2" t="s">
        <v>17</v>
      </c>
      <c r="I20" s="2">
        <f>IF(data[[#This Row],[Churn]]="yes",1,0)</f>
        <v>0</v>
      </c>
    </row>
    <row r="21" spans="1:9" ht="19.95" customHeight="1" x14ac:dyDescent="0.3">
      <c r="A21" s="2" t="s">
        <v>38</v>
      </c>
      <c r="B21" s="2">
        <v>39</v>
      </c>
      <c r="C21" s="2" t="s">
        <v>14</v>
      </c>
      <c r="D21" s="2" t="s">
        <v>15</v>
      </c>
      <c r="E21" s="2">
        <v>999</v>
      </c>
      <c r="F21" s="2">
        <v>27</v>
      </c>
      <c r="G21" s="2" t="s">
        <v>16</v>
      </c>
      <c r="H21" s="2" t="s">
        <v>17</v>
      </c>
      <c r="I21" s="2">
        <f>IF(data[[#This Row],[Churn]]="yes",1,0)</f>
        <v>0</v>
      </c>
    </row>
    <row r="23" spans="1:9" ht="19.95" customHeight="1" x14ac:dyDescent="0.3">
      <c r="G23" t="s">
        <v>40</v>
      </c>
      <c r="H23">
        <f>COUNTIF(data[Churn],"YES")</f>
        <v>8</v>
      </c>
    </row>
    <row r="24" spans="1:9" ht="19.95" customHeight="1" x14ac:dyDescent="0.3">
      <c r="G24" t="s">
        <v>41</v>
      </c>
      <c r="H24">
        <f>COUNTIFS(data[Churn],"yes",data[Subscription Type],"Basic")</f>
        <v>7</v>
      </c>
    </row>
    <row r="25" spans="1:9" ht="19.95" customHeight="1" x14ac:dyDescent="0.3">
      <c r="G25" t="s">
        <v>42</v>
      </c>
      <c r="H25">
        <f>AVERAGEIF(data[Churn],"yes",data[Monthly Charges])</f>
        <v>267.75</v>
      </c>
    </row>
    <row r="26" spans="1:9" ht="19.95" customHeight="1" x14ac:dyDescent="0.3">
      <c r="G26" t="s">
        <v>43</v>
      </c>
      <c r="H26" s="3">
        <f>COUNTIF(data[Churn],"yes")/COUNTA(data[Churn])</f>
        <v>0.4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88C61-E538-4A6C-870D-17C5913F7F5B}">
  <dimension ref="A5:I38"/>
  <sheetViews>
    <sheetView tabSelected="1" zoomScale="55" zoomScaleNormal="55" workbookViewId="0">
      <selection activeCell="S46" sqref="S46"/>
    </sheetView>
  </sheetViews>
  <sheetFormatPr defaultRowHeight="14.4" x14ac:dyDescent="0.3"/>
  <cols>
    <col min="1" max="1" width="33.88671875" bestFit="1" customWidth="1"/>
    <col min="2" max="2" width="12.44140625" bestFit="1" customWidth="1"/>
    <col min="3" max="3" width="14.6640625" bestFit="1" customWidth="1"/>
    <col min="4" max="4" width="14.88671875" bestFit="1" customWidth="1"/>
    <col min="5" max="5" width="10.77734375" bestFit="1" customWidth="1"/>
    <col min="6" max="6" width="8.6640625" bestFit="1" customWidth="1"/>
    <col min="7" max="7" width="8.5546875" bestFit="1" customWidth="1"/>
    <col min="8" max="8" width="18.44140625" bestFit="1" customWidth="1"/>
    <col min="9" max="9" width="25.5546875" bestFit="1" customWidth="1"/>
    <col min="10" max="11" width="10.77734375" bestFit="1" customWidth="1"/>
  </cols>
  <sheetData>
    <row r="5" spans="1:9" ht="21" x14ac:dyDescent="0.4">
      <c r="D5" s="7">
        <f>COUNTIF(data[Churn],"yes")/COUNTA(data[Churn])</f>
        <v>0.4</v>
      </c>
    </row>
    <row r="8" spans="1:9" x14ac:dyDescent="0.3">
      <c r="H8" s="4" t="s">
        <v>7</v>
      </c>
      <c r="I8" t="s">
        <v>47</v>
      </c>
    </row>
    <row r="10" spans="1:9" x14ac:dyDescent="0.3">
      <c r="A10" s="4" t="s">
        <v>7</v>
      </c>
      <c r="B10" t="s">
        <v>47</v>
      </c>
      <c r="H10" s="4" t="s">
        <v>44</v>
      </c>
      <c r="I10" t="s">
        <v>48</v>
      </c>
    </row>
    <row r="11" spans="1:9" x14ac:dyDescent="0.3">
      <c r="H11" s="5" t="s">
        <v>16</v>
      </c>
      <c r="I11" s="6">
        <v>7</v>
      </c>
    </row>
    <row r="12" spans="1:9" x14ac:dyDescent="0.3">
      <c r="A12" s="4" t="s">
        <v>44</v>
      </c>
      <c r="B12" t="s">
        <v>46</v>
      </c>
      <c r="H12" s="5" t="s">
        <v>20</v>
      </c>
      <c r="I12" s="6">
        <v>4</v>
      </c>
    </row>
    <row r="13" spans="1:9" x14ac:dyDescent="0.3">
      <c r="A13" s="5" t="s">
        <v>10</v>
      </c>
      <c r="B13" s="6">
        <v>7</v>
      </c>
      <c r="H13" s="5" t="s">
        <v>25</v>
      </c>
      <c r="I13" s="6">
        <v>4</v>
      </c>
    </row>
    <row r="14" spans="1:9" x14ac:dyDescent="0.3">
      <c r="A14" s="5" t="s">
        <v>15</v>
      </c>
      <c r="B14" s="6">
        <v>7</v>
      </c>
      <c r="H14" s="5" t="s">
        <v>11</v>
      </c>
      <c r="I14" s="6">
        <v>5</v>
      </c>
    </row>
    <row r="15" spans="1:9" x14ac:dyDescent="0.3">
      <c r="A15" s="5" t="s">
        <v>19</v>
      </c>
      <c r="B15" s="6">
        <v>6</v>
      </c>
      <c r="H15" s="5" t="s">
        <v>45</v>
      </c>
      <c r="I15" s="6">
        <v>20</v>
      </c>
    </row>
    <row r="16" spans="1:9" x14ac:dyDescent="0.3">
      <c r="A16" s="5" t="s">
        <v>45</v>
      </c>
      <c r="B16" s="6">
        <v>20</v>
      </c>
    </row>
    <row r="33" spans="1:4" x14ac:dyDescent="0.3">
      <c r="A33" s="4" t="s">
        <v>49</v>
      </c>
      <c r="B33" s="4" t="s">
        <v>7</v>
      </c>
    </row>
    <row r="34" spans="1:4" x14ac:dyDescent="0.3">
      <c r="A34" s="4" t="s">
        <v>50</v>
      </c>
      <c r="B34" t="s">
        <v>17</v>
      </c>
      <c r="C34" t="s">
        <v>12</v>
      </c>
      <c r="D34" t="s">
        <v>45</v>
      </c>
    </row>
    <row r="35" spans="1:4" x14ac:dyDescent="0.3">
      <c r="A35" s="5" t="s">
        <v>10</v>
      </c>
      <c r="B35" s="6"/>
      <c r="C35" s="6">
        <v>177.57142857142858</v>
      </c>
      <c r="D35" s="6">
        <v>177.57142857142858</v>
      </c>
    </row>
    <row r="36" spans="1:4" x14ac:dyDescent="0.3">
      <c r="A36" s="5" t="s">
        <v>15</v>
      </c>
      <c r="B36" s="6">
        <v>949</v>
      </c>
      <c r="C36" s="6">
        <v>899</v>
      </c>
      <c r="D36" s="6">
        <v>941.85714285714289</v>
      </c>
    </row>
    <row r="37" spans="1:4" x14ac:dyDescent="0.3">
      <c r="A37" s="5" t="s">
        <v>19</v>
      </c>
      <c r="B37" s="6">
        <v>624</v>
      </c>
      <c r="C37" s="6"/>
      <c r="D37" s="6">
        <v>624</v>
      </c>
    </row>
    <row r="38" spans="1:4" x14ac:dyDescent="0.3">
      <c r="A38" s="5" t="s">
        <v>45</v>
      </c>
      <c r="B38" s="6">
        <v>786.5</v>
      </c>
      <c r="C38" s="6">
        <v>267.75</v>
      </c>
      <c r="D38" s="6">
        <v>579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C R</dc:creator>
  <cp:lastModifiedBy>Mahesh C R</cp:lastModifiedBy>
  <dcterms:created xsi:type="dcterms:W3CDTF">2026-04-03T06:23:50Z</dcterms:created>
  <dcterms:modified xsi:type="dcterms:W3CDTF">2026-04-03T08:26:44Z</dcterms:modified>
</cp:coreProperties>
</file>